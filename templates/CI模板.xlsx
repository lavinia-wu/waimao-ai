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Program Files (x86)\Kingsoft Office Software\WPS Office\12.1.0.28599\office6\"/>
    </mc:Choice>
  </mc:AlternateContent>
  <bookViews>
    <workbookView windowWidth="17750" windowHeight="6280"/>
  </bookViews>
  <sheets>
    <sheet name="46A-1 COMMERCIAL INVOIC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<sst xmlns="http://schemas.openxmlformats.org/spreadsheetml/2006/main" count="49" uniqueCount="48">
  <si>
    <t>PLMOY PTE. LTD.</t>
  </si>
  <si>
    <t>160 ROBINSON ROAD,
#14-0
SINGAPORE(065614)</t>
  </si>
  <si>
    <t>COMMERCIAL INVOICE
NO. PM20260506001-B</t>
  </si>
  <si>
    <t>INVOICE DATE</t>
  </si>
  <si>
    <t>SALES ORDER NO.</t>
  </si>
  <si>
    <t>REFERENCE NO.</t>
  </si>
  <si>
    <t xml:space="preserve">     MAY 27, 2026</t>
  </si>
  <si>
    <t xml:space="preserve">      PM-20260421-002</t>
  </si>
  <si>
    <r>
      <rPr>
        <sz val="11"/>
        <color theme="1"/>
        <rFont val="Calibri"/>
        <charset val="134"/>
      </rPr>
      <t xml:space="preserve">   </t>
    </r>
    <r>
      <rPr>
        <sz val="11"/>
        <color theme="1"/>
        <rFont val="SimSun"/>
        <charset val="134"/>
      </rPr>
      <t>－</t>
    </r>
    <r>
      <rPr>
        <sz val="11"/>
        <color theme="1"/>
        <rFont val="Calibri"/>
        <charset val="134"/>
      </rPr>
      <t xml:space="preserve"> </t>
    </r>
  </si>
  <si>
    <t>PAYMENT TERMS</t>
  </si>
  <si>
    <t>SALES ORDER DATE</t>
  </si>
  <si>
    <t>LETTER OF CREDIT NO.</t>
  </si>
  <si>
    <t xml:space="preserve">      LC AT SIGHT</t>
  </si>
  <si>
    <t xml:space="preserve">      APRIL 21, 2026</t>
  </si>
  <si>
    <t xml:space="preserve">   2002LC65403/2026 </t>
  </si>
  <si>
    <t>VESSEL</t>
  </si>
  <si>
    <t>PORT OF DESTINATION</t>
  </si>
  <si>
    <t>LETTER OF CREDIT DATE</t>
  </si>
  <si>
    <t xml:space="preserve">      XIN LOS ANGELES V.180W</t>
  </si>
  <si>
    <t xml:space="preserve">      KARACHI PORT</t>
  </si>
  <si>
    <t xml:space="preserve">    APRIL 24, 2026</t>
  </si>
  <si>
    <t>SOLD TO</t>
  </si>
  <si>
    <t xml:space="preserve">      Unisa Pharmaceutical Industries LTD</t>
  </si>
  <si>
    <t xml:space="preserve">      Main G.T road, Adam zai akora 
      Khattak Nowshera 
      Kpk, Pakistan
</t>
  </si>
  <si>
    <t>PORT OF LOADING/ORIGIN</t>
  </si>
  <si>
    <t xml:space="preserve">      SHANGHAI, CHINA</t>
  </si>
  <si>
    <t>"Incoterma used hereon with reference to proce refer only to price and not to ownership, title, or risk of loss which are so specificed below."</t>
  </si>
  <si>
    <t>PRODUCT CODE</t>
  </si>
  <si>
    <t>NO. OF 
BAGS</t>
  </si>
  <si>
    <t>GROSS QUANTITY
(MT)</t>
  </si>
  <si>
    <t>GROSS QUANTITY
(KG)</t>
  </si>
  <si>
    <t>DESCRIPTION OF GOODS</t>
  </si>
  <si>
    <t>NET QUANTITY
(MT)</t>
  </si>
  <si>
    <t>NET QUANTITY
(KG)</t>
  </si>
  <si>
    <t>UNIT PRICE
(USD/MT)</t>
  </si>
  <si>
    <t>AMOUNT
(USD)</t>
  </si>
  <si>
    <t>LDPE</t>
  </si>
  <si>
    <r>
      <rPr>
        <sz val="11"/>
        <color theme="1"/>
        <rFont val="Calibri"/>
        <charset val="134"/>
      </rPr>
      <t>COMMODITY:LOW DENSITY POLYETHYLENE
SINOPEC GB030D (MEDICAL GRADE</t>
    </r>
    <r>
      <rPr>
        <sz val="11"/>
        <color theme="1"/>
        <rFont val="宋体"/>
        <charset val="134"/>
      </rPr>
      <t>）</t>
    </r>
    <r>
      <rPr>
        <sz val="11"/>
        <color theme="1"/>
        <rFont val="Calibri"/>
        <charset val="134"/>
      </rPr>
      <t xml:space="preserve">
NET QUANTITY:99.00 MTS (TOTAL 3,960 BAGS)
AT THE RATE OF USD 1,850.00 PER M.TON
SPECIFICATIONS AND OTHER DETAILS AS PER INDENT NO. PM-20260421-002, DATED APRIL/21/2026
CFR KARACHI SEAPORT- PAKISTAN (INCOTERMS: 2020)
PACKING:STANDARD 25KG NET/BAG
ORIGIN: CHINA
H.S.CODE: 3901.1000
LC NO. 2002LC65403/2026
LC ISSUED DATE:  APRIL 24, 2026
LC ISSUED BANK: BANK AL- HABIB LIMITED., PAKISTAN ADDRESSED AT TECHNO CITY, 07TH FLOOR, CORPORATE TOWER, HASRAT MOHANI ROAD, KARACHI -74000, PAKISTAN
</t>
    </r>
    <r>
      <rPr>
        <sz val="11"/>
        <rFont val="Calibri"/>
        <charset val="134"/>
      </rPr>
      <t xml:space="preserve">88.5 MTS: BATCH NO. SPS36513F1, BATCH MANUFACTURING DATE 2026-05-14 18:00. SHELF LIFE IS 5 YEARS 
10.5 MTS: BATCH NO. SPS36514C1, BATCH MANUFACTURING DATE 2026-05-15 02:00. SHELF LIFE IS 5 YEARS </t>
    </r>
  </si>
  <si>
    <t xml:space="preserve">
1,850.00 
</t>
  </si>
  <si>
    <t>TOTAL</t>
  </si>
  <si>
    <t>3960 BAGS</t>
  </si>
  <si>
    <t>CFR</t>
  </si>
  <si>
    <t>TOTAL AMOUNT:  183,150.00 USD</t>
  </si>
  <si>
    <t>AMOUNT IN WORDS: One Hundred Eighty-Three Thousand One Hundred Fifty US Dollars</t>
  </si>
  <si>
    <r>
      <rPr>
        <sz val="8"/>
        <color theme="1"/>
        <rFont val="Calibri"/>
        <charset val="134"/>
      </rPr>
      <t>" Certificated that the details indicated in this invoice are true, authentic and that this is the final invoice issued against the shipment.</t>
    </r>
    <r>
      <rPr>
        <sz val="11"/>
        <color theme="1"/>
        <rFont val="Calibri"/>
        <charset val="134"/>
      </rPr>
      <t>”</t>
    </r>
  </si>
  <si>
    <t>(SIGN)</t>
  </si>
  <si>
    <t>For and on behalf of:</t>
  </si>
  <si>
    <t>"THIS DOCUMENT IS NOT VALID FOR CLAIMING INPUT TAXES"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</si>
</sst>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theme="1"/>
      <name val="宋体"/>
      <charset val="134"/>
      <scheme val="minor"/>
    </font>
    <font>
      <sz val="11"/>
      <color theme="1"/>
      <name val="Calibri"/>
      <charset val="134"/>
    </font>
    <font>
      <b/>
      <sz val="14"/>
      <color theme="1"/>
      <name val="Calibri"/>
      <charset val="134"/>
    </font>
    <font>
      <b/>
      <sz val="14"/>
      <name val="Calibri"/>
      <charset val="134"/>
    </font>
    <font>
      <b/>
      <sz val="11"/>
      <color theme="1"/>
      <name val="Calibri"/>
      <charset val="134"/>
    </font>
    <font>
      <sz val="11"/>
      <name val="Calibri"/>
      <charset val="134"/>
    </font>
    <font>
      <sz val="11"/>
      <color theme="1"/>
      <name val="SimSun"/>
      <charset val="134"/>
    </font>
    <font>
      <sz val="8"/>
      <color theme="1"/>
      <name val="Calibri"/>
      <charset val="134"/>
    </font>
    <font>
      <b/>
      <sz val="11"/>
      <name val="Calibri"/>
      <charset val="134"/>
    </font>
    <font>
      <sz val="11"/>
      <color rgb="FFFF0000"/>
      <name val="Calibri"/>
      <charset val="134"/>
    </font>
    <font>
      <sz val="11"/>
      <color rgb="FFFF0000"/>
      <name val="宋体"/>
      <charset val="134"/>
      <scheme val="minor"/>
    </font>
    <font>
      <b/>
      <sz val="10"/>
      <color theme="1"/>
      <name val="Calibri"/>
      <charset val="134"/>
    </font>
    <font>
      <b/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2" borderId="14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0" borderId="16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3" borderId="17" applyNumberFormat="0" applyAlignment="0" applyProtection="0">
      <alignment vertical="center"/>
    </xf>
    <xf numFmtId="0" fontId="22" fillId="4" borderId="18" applyNumberFormat="0" applyAlignment="0" applyProtection="0">
      <alignment vertical="center"/>
    </xf>
    <xf numFmtId="0" fontId="23" fillId="4" borderId="17" applyNumberFormat="0" applyAlignment="0" applyProtection="0">
      <alignment vertical="center"/>
    </xf>
    <xf numFmtId="0" fontId="24" fillId="5" borderId="19" applyNumberFormat="0" applyAlignment="0" applyProtection="0">
      <alignment vertical="center"/>
    </xf>
    <xf numFmtId="0" fontId="25" fillId="0" borderId="20" applyNumberFormat="0" applyFill="0" applyAlignment="0" applyProtection="0">
      <alignment vertical="center"/>
    </xf>
    <xf numFmtId="0" fontId="26" fillId="0" borderId="21" applyNumberFormat="0" applyFill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</cellStyleXfs>
  <cellXfs count="85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3" fillId="0" borderId="0" xfId="0" applyFont="1" applyFill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0" borderId="0" xfId="0" applyFont="1" applyBorder="1" applyAlignment="1">
      <alignment vertical="center"/>
    </xf>
    <xf numFmtId="0" fontId="1" fillId="0" borderId="0" xfId="0" applyFont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15" fontId="5" fillId="0" borderId="1" xfId="0" applyNumberFormat="1" applyFont="1" applyFill="1" applyBorder="1" applyAlignment="1">
      <alignment horizontal="left" vertical="center"/>
    </xf>
    <xf numFmtId="0" fontId="5" fillId="0" borderId="1" xfId="0" applyFont="1" applyFill="1" applyBorder="1" applyAlignment="1">
      <alignment horizontal="left" vertical="center"/>
    </xf>
    <xf numFmtId="15" fontId="1" fillId="0" borderId="1" xfId="0" applyNumberFormat="1" applyFont="1" applyFill="1" applyBorder="1" applyAlignment="1">
      <alignment horizontal="left" vertical="center"/>
    </xf>
    <xf numFmtId="15" fontId="1" fillId="0" borderId="4" xfId="0" applyNumberFormat="1" applyFont="1" applyFill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49" fontId="1" fillId="0" borderId="5" xfId="0" applyNumberFormat="1" applyFont="1" applyFill="1" applyBorder="1" applyAlignment="1">
      <alignment horizontal="left" vertical="center"/>
    </xf>
    <xf numFmtId="49" fontId="1" fillId="0" borderId="1" xfId="0" applyNumberFormat="1" applyFont="1" applyFill="1" applyBorder="1" applyAlignment="1">
      <alignment horizontal="left" vertical="center"/>
    </xf>
    <xf numFmtId="49" fontId="6" fillId="0" borderId="1" xfId="0" applyNumberFormat="1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15" fontId="1" fillId="0" borderId="1" xfId="0" applyNumberFormat="1" applyFont="1" applyBorder="1" applyAlignment="1">
      <alignment horizontal="left" vertical="center"/>
    </xf>
    <xf numFmtId="15" fontId="5" fillId="0" borderId="5" xfId="0" applyNumberFormat="1" applyFont="1" applyFill="1" applyBorder="1" applyAlignment="1">
      <alignment horizontal="left" vertical="center"/>
    </xf>
    <xf numFmtId="15" fontId="5" fillId="0" borderId="4" xfId="0" applyNumberFormat="1" applyFont="1" applyFill="1" applyBorder="1" applyAlignment="1">
      <alignment horizontal="left" vertical="center"/>
    </xf>
    <xf numFmtId="0" fontId="5" fillId="0" borderId="4" xfId="0" applyFont="1" applyFill="1" applyBorder="1" applyAlignment="1">
      <alignment horizontal="left" vertical="center"/>
    </xf>
    <xf numFmtId="15" fontId="1" fillId="0" borderId="5" xfId="0" applyNumberFormat="1" applyFont="1" applyFill="1" applyBorder="1" applyAlignment="1">
      <alignment horizontal="left" vertical="center"/>
    </xf>
    <xf numFmtId="0" fontId="0" fillId="0" borderId="0" xfId="0" applyBorder="1">
      <alignment vertical="center"/>
    </xf>
    <xf numFmtId="0" fontId="4" fillId="0" borderId="0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7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0" xfId="0" applyFont="1" applyFill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6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4" fontId="1" fillId="0" borderId="6" xfId="0" applyNumberFormat="1" applyFont="1" applyBorder="1" applyAlignment="1">
      <alignment horizontal="center" vertical="center"/>
    </xf>
    <xf numFmtId="0" fontId="1" fillId="0" borderId="7" xfId="0" applyFont="1" applyFill="1" applyBorder="1" applyAlignment="1">
      <alignment horizontal="center" vertical="center"/>
    </xf>
    <xf numFmtId="0" fontId="1" fillId="0" borderId="8" xfId="0" applyFont="1" applyFill="1" applyBorder="1" applyAlignment="1">
      <alignment horizontal="center" vertical="center"/>
    </xf>
    <xf numFmtId="4" fontId="1" fillId="0" borderId="8" xfId="0" applyNumberFormat="1" applyFon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/>
    </xf>
    <xf numFmtId="4" fontId="1" fillId="0" borderId="6" xfId="0" applyNumberFormat="1" applyFont="1" applyFill="1" applyBorder="1" applyAlignment="1">
      <alignment horizontal="center" vertical="center" wrapText="1"/>
    </xf>
    <xf numFmtId="4" fontId="1" fillId="0" borderId="6" xfId="0" applyNumberFormat="1" applyFont="1" applyFill="1" applyBorder="1" applyAlignment="1">
      <alignment horizontal="center" vertical="center"/>
    </xf>
    <xf numFmtId="4" fontId="1" fillId="0" borderId="9" xfId="0" applyNumberFormat="1" applyFont="1" applyFill="1" applyBorder="1" applyAlignment="1">
      <alignment horizontal="center" vertical="center"/>
    </xf>
    <xf numFmtId="4" fontId="1" fillId="0" borderId="6" xfId="0" applyNumberFormat="1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 wrapText="1"/>
    </xf>
    <xf numFmtId="4" fontId="1" fillId="0" borderId="10" xfId="0" applyNumberFormat="1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 wrapText="1"/>
    </xf>
    <xf numFmtId="4" fontId="1" fillId="0" borderId="11" xfId="0" applyNumberFormat="1" applyFont="1" applyFill="1" applyBorder="1" applyAlignment="1">
      <alignment horizontal="center" vertical="center"/>
    </xf>
    <xf numFmtId="0" fontId="1" fillId="0" borderId="12" xfId="0" applyFont="1" applyFill="1" applyBorder="1" applyAlignment="1">
      <alignment horizontal="center" vertical="center"/>
    </xf>
    <xf numFmtId="0" fontId="1" fillId="0" borderId="13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P52"/>
  <sheetViews>
    <sheetView tabSelected="1" zoomScale="90" zoomScaleNormal="90" topLeftCell="A38" workbookViewId="0">
      <selection activeCell="A51" sqref="A51:O51"/>
    </sheetView>
  </sheetViews>
  <sheetFormatPr defaultColWidth="9" defaultRowHeight="14.5"/>
  <cols>
    <col min="1" max="1" width="12.9818181818182" style="1" customWidth="1"/>
    <col min="2" max="2" width="12.6454545454545" style="1" customWidth="1"/>
    <col min="3" max="3" width="9" style="1"/>
    <col min="4" max="4" width="2.91818181818182" style="1" customWidth="1"/>
    <col min="5" max="5" width="9.44545454545455" style="1" customWidth="1"/>
    <col min="6" max="6" width="8.62727272727273" style="1" customWidth="1"/>
    <col min="7" max="7" width="9" style="1"/>
    <col min="8" max="8" width="29.3818181818182" style="1" customWidth="1"/>
    <col min="9" max="9" width="8.60909090909091" style="1" customWidth="1"/>
    <col min="10" max="10" width="2.81818181818182" style="1" hidden="1" customWidth="1"/>
    <col min="11" max="11" width="10.1363636363636" style="1" customWidth="1"/>
    <col min="12" max="12" width="8.75454545454545" style="1" customWidth="1"/>
    <col min="13" max="13" width="9" style="1" hidden="1" customWidth="1"/>
    <col min="14" max="14" width="9.58181818181818" style="1" customWidth="1"/>
    <col min="15" max="15" width="9" hidden="1" customWidth="1"/>
  </cols>
  <sheetData>
    <row r="3" ht="14" spans="1:16">
      <c r="A3" s="2" t="s">
        <v>0</v>
      </c>
      <c r="B3" s="2"/>
      <c r="C3" s="2"/>
      <c r="D3" s="2"/>
      <c r="E3" s="2"/>
      <c r="F3" s="2"/>
      <c r="G3" s="2"/>
      <c r="H3" s="3" t="s">
        <v>1</v>
      </c>
      <c r="I3" s="4"/>
      <c r="J3" s="4"/>
      <c r="K3" s="5" t="s">
        <v>2</v>
      </c>
      <c r="L3" s="5"/>
      <c r="M3" s="5"/>
      <c r="N3" s="5"/>
      <c r="O3" s="5"/>
    </row>
    <row r="4" ht="14" spans="1:16">
      <c r="A4" s="2"/>
      <c r="B4" s="2"/>
      <c r="C4" s="2"/>
      <c r="D4" s="2"/>
      <c r="E4" s="2"/>
      <c r="F4" s="2"/>
      <c r="G4" s="2"/>
      <c r="H4" s="4"/>
      <c r="I4" s="4"/>
      <c r="J4" s="4"/>
      <c r="K4" s="5"/>
      <c r="L4" s="5"/>
      <c r="M4" s="5"/>
      <c r="N4" s="5"/>
      <c r="O4" s="5"/>
    </row>
    <row r="5" ht="14" spans="1:16">
      <c r="A5" s="2"/>
      <c r="B5" s="2"/>
      <c r="C5" s="2"/>
      <c r="D5" s="2"/>
      <c r="E5" s="2"/>
      <c r="F5" s="2"/>
      <c r="G5" s="2"/>
      <c r="H5" s="4"/>
      <c r="I5" s="4"/>
      <c r="J5" s="4"/>
      <c r="K5" s="5"/>
      <c r="L5" s="5"/>
      <c r="M5" s="5"/>
      <c r="N5" s="5"/>
      <c r="O5" s="5"/>
    </row>
    <row r="6" ht="14" spans="1:16">
      <c r="A6" s="6"/>
      <c r="B6" s="6"/>
      <c r="C6" s="6"/>
      <c r="D6" s="6"/>
      <c r="E6" s="6"/>
      <c r="F6" s="6"/>
      <c r="G6" s="6"/>
      <c r="H6" s="7"/>
      <c r="I6" s="7"/>
      <c r="J6" s="7"/>
      <c r="K6" s="8"/>
      <c r="L6" s="8"/>
      <c r="M6" s="8"/>
      <c r="N6" s="8"/>
      <c r="O6" s="8"/>
    </row>
    <row r="7" spans="1:16">
      <c r="A7" s="9" t="s">
        <v>3</v>
      </c>
      <c r="B7" s="9"/>
      <c r="C7" s="9"/>
      <c r="D7" s="9"/>
      <c r="E7" s="9"/>
      <c r="F7" s="10"/>
      <c r="G7" s="9" t="s">
        <v>4</v>
      </c>
      <c r="H7" s="9"/>
      <c r="I7" s="9"/>
      <c r="J7" s="10"/>
      <c r="K7" s="11" t="s">
        <v>5</v>
      </c>
      <c r="L7" s="9"/>
      <c r="M7" s="9"/>
      <c r="N7" s="9"/>
      <c r="O7" s="12"/>
    </row>
    <row r="8" spans="1:16">
      <c r="A8" s="13"/>
      <c r="B8" s="13"/>
      <c r="C8" s="13"/>
      <c r="D8" s="13"/>
      <c r="E8" s="13"/>
      <c r="F8" s="14"/>
      <c r="G8" s="13"/>
      <c r="H8" s="13"/>
      <c r="I8" s="13"/>
      <c r="J8" s="14"/>
      <c r="K8" s="15"/>
      <c r="L8" s="13"/>
      <c r="M8" s="13"/>
      <c r="N8" s="13"/>
      <c r="O8" s="16"/>
    </row>
    <row r="9" spans="1:16">
      <c r="A9" s="17" t="s">
        <v>6</v>
      </c>
      <c r="B9" s="18"/>
      <c r="C9" s="18"/>
      <c r="D9" s="18"/>
      <c r="E9" s="19"/>
      <c r="F9" s="20"/>
      <c r="G9" s="21" t="s">
        <v>7</v>
      </c>
      <c r="H9" s="21"/>
      <c r="I9" s="21"/>
      <c r="J9" s="22"/>
      <c r="K9" s="23" t="s">
        <v>8</v>
      </c>
      <c r="L9" s="24"/>
      <c r="M9" s="24"/>
      <c r="N9" s="24"/>
      <c r="O9" s="25"/>
    </row>
    <row r="10" spans="1:16">
      <c r="A10" s="9" t="s">
        <v>9</v>
      </c>
      <c r="B10" s="9"/>
      <c r="C10" s="9"/>
      <c r="D10" s="9"/>
      <c r="E10" s="9"/>
      <c r="F10" s="10"/>
      <c r="G10" s="9" t="s">
        <v>10</v>
      </c>
      <c r="H10" s="9"/>
      <c r="I10" s="9"/>
      <c r="J10" s="10"/>
      <c r="K10" s="11" t="s">
        <v>11</v>
      </c>
      <c r="L10" s="9"/>
      <c r="M10" s="9"/>
      <c r="N10" s="9"/>
      <c r="O10" s="9"/>
    </row>
    <row r="11" spans="1:16">
      <c r="A11" s="13"/>
      <c r="B11" s="13"/>
      <c r="C11" s="13"/>
      <c r="D11" s="13"/>
      <c r="E11" s="13"/>
      <c r="F11" s="14"/>
      <c r="G11" s="13"/>
      <c r="H11" s="13"/>
      <c r="I11" s="13"/>
      <c r="J11" s="14"/>
      <c r="K11" s="15"/>
      <c r="L11" s="13"/>
      <c r="M11" s="13"/>
      <c r="N11" s="13"/>
      <c r="O11" s="26"/>
    </row>
    <row r="12" spans="1:16">
      <c r="A12" s="21" t="s">
        <v>12</v>
      </c>
      <c r="B12" s="21"/>
      <c r="C12" s="21"/>
      <c r="D12" s="21"/>
      <c r="E12" s="21"/>
      <c r="F12" s="22"/>
      <c r="G12" s="27" t="s">
        <v>13</v>
      </c>
      <c r="H12" s="21"/>
      <c r="I12" s="21"/>
      <c r="J12" s="22"/>
      <c r="K12" s="28" t="s">
        <v>14</v>
      </c>
      <c r="L12" s="17"/>
      <c r="M12" s="17"/>
      <c r="N12" s="17"/>
      <c r="O12" s="29"/>
    </row>
    <row r="13" spans="1:16">
      <c r="A13" s="9" t="s">
        <v>15</v>
      </c>
      <c r="B13" s="9"/>
      <c r="C13" s="9"/>
      <c r="D13" s="9"/>
      <c r="E13" s="9"/>
      <c r="F13" s="10"/>
      <c r="G13" s="9" t="s">
        <v>16</v>
      </c>
      <c r="H13" s="9"/>
      <c r="I13" s="9"/>
      <c r="J13" s="10"/>
      <c r="K13" s="11" t="s">
        <v>17</v>
      </c>
      <c r="L13" s="9"/>
      <c r="M13" s="9"/>
      <c r="N13" s="9"/>
      <c r="O13" s="9"/>
    </row>
    <row r="14" spans="1:16">
      <c r="A14" s="13"/>
      <c r="B14" s="13"/>
      <c r="C14" s="13"/>
      <c r="D14" s="13"/>
      <c r="E14" s="13"/>
      <c r="F14" s="14"/>
      <c r="G14" s="13"/>
      <c r="H14" s="13"/>
      <c r="I14" s="13"/>
      <c r="J14" s="14"/>
      <c r="K14" s="15"/>
      <c r="L14" s="13"/>
      <c r="M14" s="13"/>
      <c r="N14" s="13"/>
      <c r="O14" s="26"/>
    </row>
    <row r="15" spans="1:16">
      <c r="A15" s="18" t="s">
        <v>18</v>
      </c>
      <c r="B15" s="18"/>
      <c r="C15" s="18"/>
      <c r="D15" s="18"/>
      <c r="E15" s="18"/>
      <c r="F15" s="30"/>
      <c r="G15" s="21" t="s">
        <v>19</v>
      </c>
      <c r="H15" s="21"/>
      <c r="I15" s="21"/>
      <c r="J15" s="22"/>
      <c r="K15" s="31" t="s">
        <v>20</v>
      </c>
      <c r="L15" s="19"/>
      <c r="M15" s="19"/>
      <c r="N15" s="19"/>
      <c r="O15" s="20"/>
      <c r="P15" s="32"/>
    </row>
    <row r="16" spans="1:16">
      <c r="A16" s="33" t="s">
        <v>21</v>
      </c>
      <c r="B16" s="33"/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</row>
    <row r="17" spans="1:15">
      <c r="A17" s="13" t="s">
        <v>22</v>
      </c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</row>
    <row r="18" ht="81" customHeight="1" spans="1:15">
      <c r="A18" s="34" t="s">
        <v>23</v>
      </c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35"/>
    </row>
    <row r="19" spans="1:15">
      <c r="A19" s="33" t="s">
        <v>24</v>
      </c>
      <c r="B19" s="33"/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</row>
    <row r="20" ht="14" spans="1:15">
      <c r="A20" s="36" t="s">
        <v>25</v>
      </c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</row>
    <row r="21" ht="14" spans="1:15">
      <c r="A21" s="36"/>
      <c r="B21" s="36"/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</row>
    <row r="22" ht="14" spans="1:15">
      <c r="A22" s="34"/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</row>
    <row r="23" ht="14" spans="1:15">
      <c r="A23" s="37" t="s">
        <v>26</v>
      </c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35"/>
    </row>
    <row r="24" ht="14" spans="1:15">
      <c r="A24" s="38" t="s">
        <v>27</v>
      </c>
      <c r="B24" s="38" t="s">
        <v>28</v>
      </c>
      <c r="C24" s="39" t="s">
        <v>29</v>
      </c>
      <c r="D24" s="40"/>
      <c r="E24" s="41" t="s">
        <v>30</v>
      </c>
      <c r="F24" s="42" t="s">
        <v>31</v>
      </c>
      <c r="G24" s="42"/>
      <c r="H24" s="42"/>
      <c r="I24" s="43" t="s">
        <v>32</v>
      </c>
      <c r="J24" s="44"/>
      <c r="K24" s="45" t="s">
        <v>33</v>
      </c>
      <c r="L24" s="43" t="s">
        <v>34</v>
      </c>
      <c r="M24" s="44"/>
      <c r="N24" s="43" t="s">
        <v>35</v>
      </c>
      <c r="O24" s="44"/>
    </row>
    <row r="25" ht="43" customHeight="1" spans="1:15">
      <c r="A25" s="46"/>
      <c r="B25" s="46"/>
      <c r="C25" s="47"/>
      <c r="D25" s="48"/>
      <c r="E25" s="41"/>
      <c r="F25" s="49"/>
      <c r="G25" s="49"/>
      <c r="H25" s="49"/>
      <c r="I25" s="50"/>
      <c r="J25" s="51"/>
      <c r="K25" s="52"/>
      <c r="L25" s="50"/>
      <c r="M25" s="51"/>
      <c r="N25" s="50"/>
      <c r="O25" s="51"/>
    </row>
    <row r="26" ht="14" spans="1:15">
      <c r="A26" s="53" t="s">
        <v>36</v>
      </c>
      <c r="B26" s="54">
        <v>3960</v>
      </c>
      <c r="C26" s="55">
        <v>100.62</v>
      </c>
      <c r="D26" s="56"/>
      <c r="E26" s="57">
        <f>C26*1000</f>
        <v>100620</v>
      </c>
      <c r="F26" s="58" t="s">
        <v>37</v>
      </c>
      <c r="G26" s="59"/>
      <c r="H26" s="59"/>
      <c r="I26" s="60">
        <v>99</v>
      </c>
      <c r="J26" s="61"/>
      <c r="K26" s="62">
        <f>I26*1000</f>
        <v>99000</v>
      </c>
      <c r="L26" s="63" t="s">
        <v>38</v>
      </c>
      <c r="M26" s="54"/>
      <c r="N26" s="63">
        <v>183150</v>
      </c>
      <c r="O26" s="54"/>
    </row>
    <row r="27" ht="14" spans="1:15">
      <c r="A27" s="53"/>
      <c r="B27" s="64"/>
      <c r="C27" s="65"/>
      <c r="D27" s="66"/>
      <c r="E27" s="67"/>
      <c r="F27" s="59"/>
      <c r="G27" s="59"/>
      <c r="H27" s="59"/>
      <c r="I27" s="61"/>
      <c r="J27" s="61"/>
      <c r="K27" s="68"/>
      <c r="L27" s="54"/>
      <c r="M27" s="54"/>
      <c r="N27" s="54"/>
      <c r="O27" s="54"/>
    </row>
    <row r="28" ht="14" spans="1:15">
      <c r="A28" s="53"/>
      <c r="B28" s="64"/>
      <c r="C28" s="65"/>
      <c r="D28" s="66"/>
      <c r="E28" s="67"/>
      <c r="F28" s="59"/>
      <c r="G28" s="59"/>
      <c r="H28" s="59"/>
      <c r="I28" s="61"/>
      <c r="J28" s="61"/>
      <c r="K28" s="68"/>
      <c r="L28" s="54"/>
      <c r="M28" s="54"/>
      <c r="N28" s="54"/>
      <c r="O28" s="54"/>
    </row>
    <row r="29" ht="14" spans="1:15">
      <c r="A29" s="53"/>
      <c r="B29" s="64"/>
      <c r="C29" s="65"/>
      <c r="D29" s="66"/>
      <c r="E29" s="67"/>
      <c r="F29" s="59"/>
      <c r="G29" s="59"/>
      <c r="H29" s="59"/>
      <c r="I29" s="61"/>
      <c r="J29" s="61"/>
      <c r="K29" s="68"/>
      <c r="L29" s="54"/>
      <c r="M29" s="54"/>
      <c r="N29" s="54"/>
      <c r="O29" s="54"/>
    </row>
    <row r="30" ht="14" spans="1:15">
      <c r="A30" s="53"/>
      <c r="B30" s="64"/>
      <c r="C30" s="65"/>
      <c r="D30" s="66"/>
      <c r="E30" s="67"/>
      <c r="F30" s="59"/>
      <c r="G30" s="59"/>
      <c r="H30" s="59"/>
      <c r="I30" s="61"/>
      <c r="J30" s="61"/>
      <c r="K30" s="68"/>
      <c r="L30" s="54"/>
      <c r="M30" s="54"/>
      <c r="N30" s="54"/>
      <c r="O30" s="54"/>
    </row>
    <row r="31" ht="14" spans="1:15">
      <c r="A31" s="53"/>
      <c r="B31" s="64"/>
      <c r="C31" s="65"/>
      <c r="D31" s="66"/>
      <c r="E31" s="67"/>
      <c r="F31" s="59"/>
      <c r="G31" s="59"/>
      <c r="H31" s="59"/>
      <c r="I31" s="61"/>
      <c r="J31" s="61"/>
      <c r="K31" s="68"/>
      <c r="L31" s="54"/>
      <c r="M31" s="54"/>
      <c r="N31" s="54"/>
      <c r="O31" s="54"/>
    </row>
    <row r="32" ht="14" spans="1:15">
      <c r="A32" s="53"/>
      <c r="B32" s="64"/>
      <c r="C32" s="65"/>
      <c r="D32" s="66"/>
      <c r="E32" s="67"/>
      <c r="F32" s="59"/>
      <c r="G32" s="59"/>
      <c r="H32" s="59"/>
      <c r="I32" s="61"/>
      <c r="J32" s="61"/>
      <c r="K32" s="68"/>
      <c r="L32" s="54"/>
      <c r="M32" s="54"/>
      <c r="N32" s="54"/>
      <c r="O32" s="54"/>
    </row>
    <row r="33" ht="14" spans="1:15">
      <c r="A33" s="53"/>
      <c r="B33" s="64"/>
      <c r="C33" s="65"/>
      <c r="D33" s="66"/>
      <c r="E33" s="67"/>
      <c r="F33" s="59"/>
      <c r="G33" s="59"/>
      <c r="H33" s="59"/>
      <c r="I33" s="61"/>
      <c r="J33" s="61"/>
      <c r="K33" s="68"/>
      <c r="L33" s="54"/>
      <c r="M33" s="54"/>
      <c r="N33" s="54"/>
      <c r="O33" s="54"/>
    </row>
    <row r="34" ht="14" spans="1:15">
      <c r="A34" s="53"/>
      <c r="B34" s="64"/>
      <c r="C34" s="65"/>
      <c r="D34" s="66"/>
      <c r="E34" s="67"/>
      <c r="F34" s="59"/>
      <c r="G34" s="59"/>
      <c r="H34" s="59"/>
      <c r="I34" s="61"/>
      <c r="J34" s="61"/>
      <c r="K34" s="68"/>
      <c r="L34" s="54"/>
      <c r="M34" s="54"/>
      <c r="N34" s="54"/>
      <c r="O34" s="54"/>
    </row>
    <row r="35" ht="14" spans="1:15">
      <c r="A35" s="53"/>
      <c r="B35" s="64"/>
      <c r="C35" s="65"/>
      <c r="D35" s="66"/>
      <c r="E35" s="67"/>
      <c r="F35" s="59"/>
      <c r="G35" s="59"/>
      <c r="H35" s="59"/>
      <c r="I35" s="61"/>
      <c r="J35" s="61"/>
      <c r="K35" s="68"/>
      <c r="L35" s="54"/>
      <c r="M35" s="54"/>
      <c r="N35" s="54"/>
      <c r="O35" s="54"/>
    </row>
    <row r="36" ht="14" spans="1:15">
      <c r="A36" s="53"/>
      <c r="B36" s="64"/>
      <c r="C36" s="65"/>
      <c r="D36" s="66"/>
      <c r="E36" s="67"/>
      <c r="F36" s="59"/>
      <c r="G36" s="59"/>
      <c r="H36" s="59"/>
      <c r="I36" s="61"/>
      <c r="J36" s="61"/>
      <c r="K36" s="68"/>
      <c r="L36" s="54"/>
      <c r="M36" s="54"/>
      <c r="N36" s="54"/>
      <c r="O36" s="54"/>
    </row>
    <row r="37" ht="246" customHeight="1" spans="1:15">
      <c r="A37" s="69"/>
      <c r="B37" s="64"/>
      <c r="C37" s="70"/>
      <c r="D37" s="71"/>
      <c r="E37" s="72"/>
      <c r="F37" s="59"/>
      <c r="G37" s="59"/>
      <c r="H37" s="59"/>
      <c r="I37" s="61"/>
      <c r="J37" s="61"/>
      <c r="K37" s="73"/>
      <c r="L37" s="54"/>
      <c r="M37" s="54"/>
      <c r="N37" s="54"/>
      <c r="O37" s="54"/>
    </row>
    <row r="38" spans="1:15">
      <c r="A38" s="46" t="s">
        <v>39</v>
      </c>
      <c r="B38" s="69" t="s">
        <v>40</v>
      </c>
      <c r="C38" s="74">
        <v>100.62</v>
      </c>
      <c r="D38" s="75"/>
      <c r="E38" s="61">
        <f>E26</f>
        <v>100620</v>
      </c>
      <c r="F38" s="51"/>
      <c r="G38" s="51"/>
      <c r="H38" s="46"/>
      <c r="I38" s="7">
        <f t="shared" ref="I38:N38" si="0">I26</f>
        <v>99</v>
      </c>
      <c r="J38" s="69"/>
      <c r="K38" s="54">
        <f t="shared" si="0"/>
        <v>99000</v>
      </c>
      <c r="L38" s="51" t="s">
        <v>41</v>
      </c>
      <c r="M38" s="51"/>
      <c r="N38" s="63">
        <f t="shared" si="0"/>
        <v>183150</v>
      </c>
      <c r="O38" s="54"/>
    </row>
    <row r="39" spans="1:15">
      <c r="A39" s="76" t="s">
        <v>42</v>
      </c>
      <c r="B39" s="76"/>
      <c r="C39" s="76"/>
      <c r="D39" s="76"/>
      <c r="E39" s="76"/>
      <c r="F39" s="76"/>
      <c r="G39" s="76"/>
      <c r="H39" s="76"/>
      <c r="I39" s="76"/>
      <c r="J39" s="76"/>
      <c r="K39" s="76"/>
      <c r="L39" s="76"/>
      <c r="M39" s="76"/>
      <c r="N39" s="76"/>
      <c r="O39" s="51"/>
    </row>
    <row r="40" spans="1:15">
      <c r="A40" s="77" t="s">
        <v>43</v>
      </c>
      <c r="B40" s="77"/>
      <c r="C40" s="77"/>
      <c r="D40" s="77"/>
      <c r="E40" s="77"/>
      <c r="F40" s="77"/>
      <c r="G40" s="77"/>
      <c r="H40" s="77"/>
      <c r="I40" s="77"/>
      <c r="J40" s="77"/>
      <c r="K40" s="77"/>
      <c r="L40" s="77"/>
      <c r="M40" s="77"/>
      <c r="N40" s="77"/>
      <c r="O40" s="77"/>
    </row>
    <row r="41" spans="1:15">
      <c r="A41" s="37" t="s">
        <v>44</v>
      </c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35"/>
    </row>
    <row r="44" spans="1:15">
      <c r="K44" s="3" t="s">
        <v>45</v>
      </c>
      <c r="L44" s="3"/>
      <c r="M44" s="3"/>
      <c r="N44" s="3"/>
    </row>
    <row r="45" spans="1:15">
      <c r="I45" s="36" t="s">
        <v>46</v>
      </c>
      <c r="J45" s="13"/>
      <c r="K45" s="13"/>
      <c r="L45" s="78"/>
      <c r="M45" s="79"/>
      <c r="N45" s="79"/>
      <c r="O45" s="80"/>
    </row>
    <row r="46" ht="18.5" spans="1:15">
      <c r="I46" s="81"/>
      <c r="J46" s="81"/>
      <c r="K46" s="81"/>
      <c r="L46" s="81"/>
      <c r="M46" s="79"/>
      <c r="N46" s="79"/>
      <c r="O46" s="80"/>
    </row>
    <row r="47" ht="18.5" spans="1:15">
      <c r="I47" s="81" t="s">
        <v>0</v>
      </c>
      <c r="J47" s="81"/>
      <c r="K47" s="81"/>
      <c r="L47" s="81"/>
      <c r="M47" s="81"/>
      <c r="N47" s="81"/>
    </row>
    <row r="51" ht="14" spans="1:15">
      <c r="A51" s="82" t="s">
        <v>47</v>
      </c>
      <c r="B51" s="82"/>
      <c r="C51" s="82"/>
      <c r="D51" s="82"/>
      <c r="E51" s="82"/>
      <c r="F51" s="82"/>
      <c r="G51" s="82"/>
      <c r="H51" s="82"/>
      <c r="I51" s="82"/>
      <c r="J51" s="82"/>
      <c r="K51" s="82"/>
      <c r="L51" s="82"/>
      <c r="M51" s="82"/>
      <c r="N51" s="82"/>
      <c r="O51" s="83"/>
    </row>
    <row r="52" spans="1:1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84"/>
    </row>
  </sheetData>
  <mergeCells count="58">
    <mergeCell ref="A7:F7"/>
    <mergeCell ref="G7:J7"/>
    <mergeCell ref="K7:N7"/>
    <mergeCell ref="A9:D9"/>
    <mergeCell ref="G9:J9"/>
    <mergeCell ref="K9:O9"/>
    <mergeCell ref="A10:F10"/>
    <mergeCell ref="G10:J10"/>
    <mergeCell ref="K10:O10"/>
    <mergeCell ref="A12:F12"/>
    <mergeCell ref="G12:J12"/>
    <mergeCell ref="K12:O12"/>
    <mergeCell ref="A13:F13"/>
    <mergeCell ref="G13:J13"/>
    <mergeCell ref="K13:O13"/>
    <mergeCell ref="A15:F15"/>
    <mergeCell ref="G15:J15"/>
    <mergeCell ref="K15:O15"/>
    <mergeCell ref="A16:O16"/>
    <mergeCell ref="A17:O17"/>
    <mergeCell ref="A18:O18"/>
    <mergeCell ref="A19:O19"/>
    <mergeCell ref="A23:O23"/>
    <mergeCell ref="C38:D38"/>
    <mergeCell ref="F38:H38"/>
    <mergeCell ref="I38:J38"/>
    <mergeCell ref="L38:M38"/>
    <mergeCell ref="N38:O38"/>
    <mergeCell ref="A39:N39"/>
    <mergeCell ref="A40:O40"/>
    <mergeCell ref="A41:O41"/>
    <mergeCell ref="K44:N44"/>
    <mergeCell ref="I45:L45"/>
    <mergeCell ref="A51:O51"/>
    <mergeCell ref="A52:O52"/>
    <mergeCell ref="A24:A25"/>
    <mergeCell ref="A26:A37"/>
    <mergeCell ref="B24:B25"/>
    <mergeCell ref="B26:B37"/>
    <mergeCell ref="E24:E25"/>
    <mergeCell ref="E26:E37"/>
    <mergeCell ref="K24:K25"/>
    <mergeCell ref="K26:K37"/>
    <mergeCell ref="A3:G6"/>
    <mergeCell ref="H3:J6"/>
    <mergeCell ref="K3:O6"/>
    <mergeCell ref="A20:O22"/>
    <mergeCell ref="C24:D25"/>
    <mergeCell ref="I24:J25"/>
    <mergeCell ref="F24:H25"/>
    <mergeCell ref="L24:M25"/>
    <mergeCell ref="N24:O25"/>
    <mergeCell ref="C26:D37"/>
    <mergeCell ref="I26:J37"/>
    <mergeCell ref="F26:H37"/>
    <mergeCell ref="L26:M37"/>
    <mergeCell ref="N26:O37"/>
    <mergeCell ref="M45:O46"/>
  </mergeCells>
  <pageMargins left="0.751388888888889" right="0.751388888888889" top="1" bottom="1" header="0.5" footer="0.5"/>
  <pageSetup paperSize="9" scale="65" orientation="portrait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46A-1 COMMERCIAL INVOICE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21634</dc:creator>
  <cp:lastModifiedBy>半个拍子</cp:lastModifiedBy>
  <dcterms:created xsi:type="dcterms:W3CDTF">2026-10-14T13:26:11Z</dcterms:created>
  <dcterms:modified xsi:type="dcterms:W3CDTF">2026-10-14T13:26:24Z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27D99D26FF714C9E9020DD3EFA204CF9_11</vt:lpwstr>
  </property>
  <property fmtid="{D5CDD505-2E9C-101B-9397-08002B2CF9AE}" pid="3" name="KSOProductBuildVer">
    <vt:lpwstr>2052-12.1.0.28599</vt:lpwstr>
  </property>
  <property fmtid="{D5CDD505-2E9C-101B-9397-08002B2CF9AE}" pid="4" name="CalculationRule">
    <vt:i4>1</vt:i4>
  </property>
</Properties>
</file>