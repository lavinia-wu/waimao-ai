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599\office6\"/>
    </mc:Choice>
  </mc:AlternateContent>
  <bookViews>
    <workbookView windowWidth="17750" windowHeight="6280"/>
  </bookViews>
  <sheets>
    <sheet name="46A-9 PACKING LIS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<sst xmlns="http://schemas.openxmlformats.org/spreadsheetml/2006/main" count="52" uniqueCount="49">
  <si>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PLMOY PTE. LTD.</t>
  </si>
  <si>
    <t>160 ROBINSON ROAD,
#16-0
SINGAPORE(064444)</t>
  </si>
  <si>
    <t>DATE: MAY 27, 2026</t>
  </si>
  <si>
    <t>PACKING LIST</t>
  </si>
  <si>
    <t>SOLD TO:</t>
  </si>
  <si>
    <t xml:space="preserve">COMMERCIAL INVOICE NO                                     </t>
  </si>
  <si>
    <t xml:space="preserve">      NO. PM20260506001-B</t>
  </si>
  <si>
    <t xml:space="preserve">CONTRACT NO                                                         </t>
  </si>
  <si>
    <t>NO</t>
  </si>
  <si>
    <t>ITEMS.</t>
  </si>
  <si>
    <t>UNIT QUALITY.</t>
  </si>
  <si>
    <t>NET/MT</t>
  </si>
  <si>
    <t>NET/KG</t>
  </si>
  <si>
    <t>GROSS/MT</t>
  </si>
  <si>
    <t>GROSS/KG</t>
  </si>
  <si>
    <t>GRADE</t>
  </si>
  <si>
    <t>25KG/BAG</t>
  </si>
  <si>
    <t>GB030D</t>
  </si>
  <si>
    <t>99000.00</t>
  </si>
  <si>
    <t>COMMODITY</t>
  </si>
  <si>
    <t>PLASTIC GRANULE</t>
  </si>
  <si>
    <t>TYPE</t>
  </si>
  <si>
    <t>LDPE GB030D</t>
  </si>
  <si>
    <t>BRAND</t>
  </si>
  <si>
    <t>SINOPEC SHANGHAI PETROCHEMICAL Co., LTD</t>
  </si>
  <si>
    <t>PACKING OF GOODS</t>
  </si>
  <si>
    <t>25 KGS/BAG</t>
  </si>
  <si>
    <t>COUNTRY OF ORIGIN</t>
  </si>
  <si>
    <t>CHINA</t>
  </si>
  <si>
    <t>H.S CODE</t>
  </si>
  <si>
    <t>TOTAL NET WEIGHT</t>
  </si>
  <si>
    <t>99.00 MT</t>
  </si>
  <si>
    <t>99,000.00KG</t>
  </si>
  <si>
    <t>TOTAL GROSS WEIGHT</t>
  </si>
  <si>
    <t>100.62MT</t>
  </si>
  <si>
    <t>100,620.00KG</t>
  </si>
  <si>
    <t>CONTAINE NUMBER</t>
  </si>
  <si>
    <t>SEAL NUMBER</t>
  </si>
  <si>
    <t>BATCH 1 NO.</t>
  </si>
  <si>
    <t>SPS36513F1</t>
  </si>
  <si>
    <t>BATCH 1 MANUFACTURING DATE 2026-05-14 18:00</t>
  </si>
  <si>
    <t>BATCH 1 QUANTITY</t>
  </si>
  <si>
    <t>88.5 MTS</t>
  </si>
  <si>
    <t xml:space="preserve">BATCH 2 NO. </t>
  </si>
  <si>
    <t xml:space="preserve"> SPS36514C1</t>
  </si>
  <si>
    <t>BATCH 2 MANUFACTURING DATE 2026-05-15 02:00</t>
  </si>
  <si>
    <t>10.5 MTS</t>
  </si>
  <si>
    <t>Tom(SIGN)</t>
  </si>
  <si>
    <t xml:space="preserve"> SHELF LIFE IS 5 YEARS.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</si>
</sst>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u val="double"/>
      <sz val="11"/>
      <color theme="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176" fontId="6" fillId="0" borderId="0" xfId="0" applyNumberFormat="1" applyFont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6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%20and%20PL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6A-1 COMMERCIAL INVOICE"/>
      <sheetName val="46A-9 PACKING LIST"/>
      <sheetName val="46A-9 PACKING LIST (2)"/>
      <sheetName val="sheet3"/>
      <sheetName val="Sheet1"/>
    </sheetNames>
    <sheetDataSet>
      <sheetData sheetId="0">
        <row r="9">
          <cell r="G9" t="str">
            <v>      PM-20260421-002</v>
          </cell>
        </row>
        <row r="17">
          <cell r="A17" t="str">
            <v>      Unisa Pharmaceutical Industries LTD</v>
          </cell>
        </row>
        <row r="18">
          <cell r="A18" t="str">
            <v>      Main G.T road, Adam zai akora 
      Khattak Nowshera 
      Kpk, Pakistan
</v>
          </cell>
        </row>
        <row r="26">
          <cell r="C26">
            <v>100.62</v>
          </cell>
        </row>
        <row r="26">
          <cell r="E26">
            <v>100620</v>
          </cell>
          <cell r="F26" t="str">
            <v>COMMODITY:LOW DENSITY POLYETHYLENE
SINOPEC GB030D (MEDICAL GRADE）
NET QUANTITY:99.00 MTS (TOTAL 3,960 BAGS)
AT THE RATE OF USD 1,850.00 PER M.TON
SPECIFICATIONS AND OTHER DETAILS AS PER INDENT NO. PM-20260421-002, DATED APRIL/21/2026
CFR KARACHI SEAPORT- PAKISTAN (INCOTERMS: 2020)
PACKING:STANDARD 25KG NET/BAG
ORIGIN: CHINA
H.S.CODE: 3901.1000
LC NO. 2002LC65403/2026
LC ISSUED DATE:  APRIL 24, 2026
LC ISSUED BANK: BANK AL- HABIB LIMITED., PAKISTAN ADDRESSED AT TECHNO CITY, 07TH FLOOR, CORPORATE TOWER, HASRAT MOHANI ROAD, KARACHI -74000, PAKISTAN
88.5 MTS: BATCH NO. SPS36513F1, BATCH MANUFACTURING DATE 2026-05-14 18:00. SHELF LIFE IS 5 YEARS 
10.5 MTS: BATCH NO. SPS36514C1, BATCH MANUFACTURING DATE 2026-05-15 02:00. SHELF LIFE IS 5 YEARS </v>
          </cell>
        </row>
        <row r="26">
          <cell r="I26">
            <v>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7"/>
  <sheetViews>
    <sheetView tabSelected="1" zoomScale="90" zoomScaleNormal="90" topLeftCell="A11" workbookViewId="0">
      <selection activeCell="L7" sqref="L7"/>
    </sheetView>
  </sheetViews>
  <sheetFormatPr defaultColWidth="9" defaultRowHeight="14"/>
  <cols>
    <col min="1" max="1" width="17.4909090909091" customWidth="1"/>
    <col min="2" max="2" width="35.6909090909091" customWidth="1"/>
    <col min="3" max="3" width="12.7727272727273" customWidth="1"/>
    <col min="4" max="4" width="11.3818181818182" customWidth="1"/>
    <col min="5" max="5" width="9.99090909090909" customWidth="1"/>
    <col min="6" max="6" width="11.2090909090909" customWidth="1"/>
    <col min="7" max="7" width="11.1090909090909" customWidth="1"/>
    <col min="8" max="8" width="7.22727272727273" customWidth="1"/>
    <col min="9" max="9" width="3.18181818181818" customWidth="1"/>
  </cols>
  <sheetData>
    <row r="2" spans="1:9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3"/>
    </row>
    <row r="3" spans="1:9">
      <c r="A3" s="2"/>
      <c r="B3" s="2"/>
      <c r="C3" s="2"/>
      <c r="D3" s="3"/>
      <c r="E3" s="3"/>
      <c r="F3" s="3"/>
      <c r="G3" s="3"/>
      <c r="H3" s="3"/>
      <c r="I3" s="3"/>
    </row>
    <row r="4" spans="1:9">
      <c r="A4" s="2"/>
      <c r="B4" s="2"/>
      <c r="C4" s="2"/>
      <c r="D4" s="3"/>
      <c r="E4" s="3"/>
      <c r="F4" s="3"/>
      <c r="G4" s="3"/>
      <c r="H4" s="3"/>
      <c r="I4" s="3"/>
    </row>
    <row r="5" spans="1:9">
      <c r="A5" s="2"/>
      <c r="B5" s="2"/>
      <c r="C5" s="2"/>
      <c r="D5" s="3"/>
      <c r="E5" s="3"/>
      <c r="F5" s="3"/>
      <c r="G5" s="3"/>
      <c r="H5" s="3"/>
      <c r="I5" s="3"/>
    </row>
    <row r="6" spans="1:9">
      <c r="A6" s="4"/>
      <c r="B6" s="4"/>
      <c r="C6" s="4"/>
      <c r="D6" s="4"/>
      <c r="E6" s="4"/>
      <c r="F6" s="5" t="s">
        <v>2</v>
      </c>
      <c r="G6" s="5"/>
      <c r="H6" s="5"/>
      <c r="I6" s="5"/>
    </row>
    <row r="7" spans="1:9">
      <c r="A7" s="6" t="s">
        <v>3</v>
      </c>
      <c r="B7" s="6"/>
      <c r="C7" s="6"/>
      <c r="D7" s="6"/>
      <c r="E7" s="6"/>
      <c r="F7" s="6"/>
      <c r="G7" s="6"/>
      <c r="H7" s="6"/>
    </row>
    <row r="8" spans="1:9">
      <c r="A8" s="6"/>
      <c r="B8" s="6"/>
      <c r="C8" s="6"/>
      <c r="D8" s="6"/>
      <c r="E8" s="6"/>
      <c r="F8" s="6"/>
      <c r="G8" s="6"/>
      <c r="H8" s="6"/>
    </row>
    <row r="9" ht="14.5" spans="1:9">
      <c r="A9" s="7" t="s">
        <v>4</v>
      </c>
    </row>
    <row r="10" ht="14.5" spans="1:9">
      <c r="A10" s="8" t="str">
        <f>'[1]46A-1 COMMERCIAL INVOICE'!A17</f>
        <v>      Unisa Pharmaceutical Industries LTD</v>
      </c>
    </row>
    <row r="11" ht="49" customHeight="1" spans="1:9">
      <c r="A11" s="9" t="str">
        <f>'[1]46A-1 COMMERCIAL INVOICE'!A18</f>
        <v>      Main G.T road, Adam zai akora 
      Khattak Nowshera 
      Kpk, Pakistan
</v>
      </c>
      <c r="B11" s="10"/>
      <c r="C11" s="10"/>
      <c r="D11" s="10"/>
      <c r="E11" s="10"/>
      <c r="F11" s="10"/>
      <c r="G11" s="10"/>
      <c r="H11" s="10"/>
    </row>
    <row r="12" ht="15" customHeight="1" spans="1:9">
      <c r="A12" s="9"/>
      <c r="B12" s="10"/>
      <c r="C12" s="10"/>
      <c r="D12" s="10"/>
      <c r="E12" s="10"/>
      <c r="F12" s="10"/>
      <c r="G12" s="10"/>
      <c r="H12" s="10"/>
    </row>
    <row r="13" ht="13" customHeight="1" spans="1:9">
      <c r="A13" s="10" t="s">
        <v>5</v>
      </c>
      <c r="B13" s="10"/>
      <c r="C13" s="11" t="s">
        <v>6</v>
      </c>
      <c r="D13" s="11"/>
      <c r="E13" s="11"/>
    </row>
    <row r="14" ht="14.5" spans="1:9">
      <c r="A14" s="10" t="s">
        <v>7</v>
      </c>
      <c r="B14" s="10"/>
      <c r="C14" s="10" t="str">
        <f>'[1]46A-1 COMMERCIAL INVOICE'!G9</f>
        <v>      PM-20260421-002</v>
      </c>
      <c r="D14" s="10"/>
      <c r="E14" s="10"/>
    </row>
    <row r="15" ht="14.5" spans="1:9">
      <c r="B15" s="12"/>
      <c r="C15" s="12"/>
    </row>
    <row r="16" spans="1:9">
      <c r="A16" s="13" t="s">
        <v>8</v>
      </c>
      <c r="B16" s="13" t="s">
        <v>9</v>
      </c>
      <c r="C16" s="13" t="s">
        <v>10</v>
      </c>
      <c r="D16" s="13" t="s">
        <v>11</v>
      </c>
      <c r="E16" s="13" t="s">
        <v>12</v>
      </c>
      <c r="F16" s="14" t="s">
        <v>13</v>
      </c>
      <c r="G16" s="14" t="s">
        <v>14</v>
      </c>
      <c r="H16" s="13" t="s">
        <v>15</v>
      </c>
      <c r="I16" s="13"/>
    </row>
    <row r="17" ht="5" customHeight="1" spans="1:9">
      <c r="A17" s="15"/>
      <c r="B17" s="15"/>
      <c r="C17" s="15"/>
      <c r="D17" s="15"/>
      <c r="E17" s="13"/>
      <c r="F17" s="16"/>
      <c r="G17" s="16"/>
      <c r="H17" s="13"/>
      <c r="I17" s="13"/>
    </row>
    <row r="18" spans="1:9">
      <c r="A18" s="15">
        <v>1</v>
      </c>
      <c r="B18" s="17" t="str">
        <f>'[1]46A-1 COMMERCIAL INVOICE'!F26</f>
        <v>COMMODITY:LOW DENSITY POLYETHYLENE
SINOPEC GB030D (MEDICAL GRADE）
NET QUANTITY:99.00 MTS (TOTAL 3,960 BAGS)
AT THE RATE OF USD 1,850.00 PER M.TON
SPECIFICATIONS AND OTHER DETAILS AS PER INDENT NO. PM-20260421-002, DATED APRIL/21/2026
CFR KARACHI SEAPORT- PAKISTAN (INCOTERMS: 2020)
PACKING:STANDARD 25KG NET/BAG
ORIGIN: CHINA
H.S.CODE: 3901.1000
LC NO. 2002LC65403/2026
LC ISSUED DATE:  APRIL 24, 2026
LC ISSUED BANK: BANK AL- HABIB LIMITED., PAKISTAN ADDRESSED AT TECHNO CITY, 07TH FLOOR, CORPORATE TOWER, HASRAT MOHANI ROAD, KARACHI -74000, PAKISTAN
88.5 MTS: BATCH NO. SPS36513F1, BATCH MANUFACTURING DATE 2026-05-14 18:00. SHELF LIFE IS 5 YEARS 
10.5 MTS: BATCH NO. SPS36514C1, BATCH MANUFACTURING DATE 2026-05-15 02:00. SHELF LIFE IS 5 YEARS </v>
      </c>
      <c r="C18" s="16" t="s">
        <v>16</v>
      </c>
      <c r="D18" s="18">
        <f>'[1]46A-1 COMMERCIAL INVOICE'!I26</f>
        <v>99</v>
      </c>
      <c r="E18" s="18">
        <f>D18*1000</f>
        <v>99000</v>
      </c>
      <c r="F18" s="19">
        <f>'[1]46A-1 COMMERCIAL INVOICE'!C26</f>
        <v>100.62</v>
      </c>
      <c r="G18" s="20">
        <f>'[1]46A-1 COMMERCIAL INVOICE'!E26</f>
        <v>100620</v>
      </c>
      <c r="H18" s="18" t="s">
        <v>17</v>
      </c>
      <c r="I18" s="18"/>
    </row>
    <row r="19" ht="381" customHeight="1" spans="1:9">
      <c r="A19" s="15"/>
      <c r="B19" s="17"/>
      <c r="C19" s="16"/>
      <c r="D19" s="18"/>
      <c r="E19" s="18"/>
      <c r="F19" s="19"/>
      <c r="G19" s="20"/>
      <c r="H19" s="18"/>
      <c r="I19" s="18"/>
    </row>
    <row r="20" hidden="1" spans="1:9">
      <c r="A20" s="15"/>
      <c r="B20" s="17"/>
      <c r="C20" s="16"/>
      <c r="D20" s="18"/>
      <c r="E20" s="18"/>
      <c r="F20" s="19"/>
      <c r="G20" s="20"/>
      <c r="H20" s="18"/>
      <c r="I20" s="18"/>
    </row>
    <row r="21" ht="14.75" hidden="1" spans="1:9">
      <c r="A21" s="15"/>
      <c r="B21" s="17"/>
      <c r="C21" s="21"/>
      <c r="D21" s="22"/>
      <c r="E21" s="22"/>
      <c r="F21" s="23"/>
      <c r="G21" s="24"/>
      <c r="H21" s="18"/>
      <c r="I21" s="18"/>
    </row>
    <row r="22" ht="14.5" spans="1:9">
      <c r="D22" s="25">
        <f t="shared" ref="D22:G22" si="0">D18</f>
        <v>99</v>
      </c>
      <c r="E22" s="26" t="s">
        <v>18</v>
      </c>
      <c r="F22" s="27">
        <f t="shared" si="0"/>
        <v>100.62</v>
      </c>
      <c r="G22" s="28">
        <f t="shared" si="0"/>
        <v>100620</v>
      </c>
    </row>
    <row r="23" ht="14.5" spans="1:9">
      <c r="E23" s="29"/>
      <c r="F23" s="29"/>
      <c r="G23" s="30"/>
    </row>
    <row r="24" ht="14.5" spans="1:9">
      <c r="A24" s="10" t="s">
        <v>19</v>
      </c>
      <c r="B24" s="10" t="s">
        <v>20</v>
      </c>
    </row>
    <row r="25" ht="14.5" spans="1:9">
      <c r="A25" s="10" t="s">
        <v>21</v>
      </c>
      <c r="B25" s="31" t="s">
        <v>22</v>
      </c>
    </row>
    <row r="26" ht="14.5" spans="1:9">
      <c r="A26" s="10" t="s">
        <v>23</v>
      </c>
      <c r="B26" s="31" t="s">
        <v>24</v>
      </c>
    </row>
    <row r="27" ht="14.5" spans="1:9">
      <c r="A27" s="10" t="s">
        <v>25</v>
      </c>
      <c r="B27" s="31" t="s">
        <v>26</v>
      </c>
    </row>
    <row r="28" ht="14.5" spans="1:9">
      <c r="A28" s="10" t="s">
        <v>27</v>
      </c>
      <c r="B28" s="10" t="s">
        <v>28</v>
      </c>
    </row>
    <row r="29" ht="14.5" spans="1:9">
      <c r="A29" s="10" t="s">
        <v>29</v>
      </c>
      <c r="B29" s="32">
        <v>3901.1</v>
      </c>
    </row>
    <row r="30" ht="14.5" spans="1:9">
      <c r="A30" s="10" t="s">
        <v>30</v>
      </c>
      <c r="B30" s="10" t="s">
        <v>31</v>
      </c>
    </row>
    <row r="31" ht="14.5" spans="1:9">
      <c r="A31" s="10" t="s">
        <v>30</v>
      </c>
      <c r="B31" s="33" t="s">
        <v>32</v>
      </c>
      <c r="F31" s="30"/>
      <c r="G31" s="30"/>
    </row>
    <row r="32" ht="14.5" spans="1:9">
      <c r="A32" s="34" t="s">
        <v>33</v>
      </c>
      <c r="B32" s="33" t="s">
        <v>34</v>
      </c>
    </row>
    <row r="33" ht="14.5" spans="1:8">
      <c r="A33" s="34" t="s">
        <v>33</v>
      </c>
      <c r="B33" s="33" t="s">
        <v>35</v>
      </c>
    </row>
    <row r="34" ht="14.5" hidden="1" spans="1:8">
      <c r="A34" s="34" t="s">
        <v>36</v>
      </c>
      <c r="B34" s="35"/>
    </row>
    <row r="35" hidden="1" customHeight="1" spans="1:8">
      <c r="A35" s="34" t="s">
        <v>37</v>
      </c>
      <c r="B35" s="36"/>
    </row>
    <row r="36" s="1" customFormat="1" ht="14.5" spans="1:8">
      <c r="A36" s="33" t="s">
        <v>38</v>
      </c>
      <c r="B36" s="33" t="s">
        <v>39</v>
      </c>
    </row>
    <row r="37" s="1" customFormat="1" ht="14.5" spans="1:8">
      <c r="A37" s="33" t="s">
        <v>40</v>
      </c>
      <c r="B37" s="33"/>
    </row>
    <row r="38" s="1" customFormat="1" ht="14.5" spans="1:8">
      <c r="A38" s="33" t="s">
        <v>41</v>
      </c>
      <c r="B38" s="33" t="s">
        <v>42</v>
      </c>
    </row>
    <row r="39" s="1" customFormat="1" ht="14.5" spans="1:8">
      <c r="A39" s="33" t="s">
        <v>43</v>
      </c>
      <c r="B39" s="33" t="s">
        <v>44</v>
      </c>
    </row>
    <row r="40" s="1" customFormat="1" ht="14.5" spans="1:8">
      <c r="A40" s="33" t="s">
        <v>45</v>
      </c>
      <c r="B40" s="33"/>
    </row>
    <row r="41" s="1" customFormat="1" ht="14.5" spans="1:8">
      <c r="A41" s="33" t="s">
        <v>41</v>
      </c>
      <c r="B41" s="33" t="s">
        <v>46</v>
      </c>
      <c r="F41" s="1" t="s">
        <v>47</v>
      </c>
    </row>
    <row r="42" s="1" customFormat="1" ht="14.5" spans="1:8">
      <c r="A42" s="33" t="s">
        <v>48</v>
      </c>
      <c r="D42" s="2" t="str">
        <f>A2</f>
        <v>PLMOY PTE. LTD.</v>
      </c>
      <c r="E42" s="2"/>
      <c r="F42" s="2"/>
      <c r="G42" s="2"/>
      <c r="H42" s="2"/>
    </row>
    <row r="43" spans="1:8">
      <c r="B43" s="37"/>
      <c r="C43" s="37"/>
      <c r="D43" s="2"/>
      <c r="E43" s="2"/>
      <c r="F43" s="2"/>
      <c r="G43" s="2"/>
      <c r="H43" s="2"/>
    </row>
    <row r="44" spans="1:8">
      <c r="B44" s="37"/>
      <c r="C44" s="37"/>
      <c r="D44" s="2"/>
      <c r="E44" s="2"/>
      <c r="F44" s="2"/>
      <c r="G44" s="2"/>
      <c r="H44" s="2"/>
    </row>
    <row r="45" spans="1:8">
      <c r="B45" s="2"/>
      <c r="C45" s="2"/>
      <c r="D45" s="2"/>
    </row>
    <row r="46" spans="1:8">
      <c r="B46" s="2"/>
      <c r="C46" s="2"/>
      <c r="D46" s="2"/>
    </row>
    <row r="47" spans="1:8">
      <c r="B47" s="2"/>
      <c r="C47" s="2"/>
      <c r="D47" s="2"/>
    </row>
  </sheetData>
  <mergeCells count="28">
    <mergeCell ref="F6:I6"/>
    <mergeCell ref="A11:H11"/>
    <mergeCell ref="A13:B13"/>
    <mergeCell ref="C13:E13"/>
    <mergeCell ref="A14:B14"/>
    <mergeCell ref="C14:E14"/>
    <mergeCell ref="A16:A17"/>
    <mergeCell ref="A18:A21"/>
    <mergeCell ref="B16:B17"/>
    <mergeCell ref="B18:B21"/>
    <mergeCell ref="C16:C17"/>
    <mergeCell ref="C18:C21"/>
    <mergeCell ref="D16:D17"/>
    <mergeCell ref="D18:D21"/>
    <mergeCell ref="E16:E17"/>
    <mergeCell ref="E18:E21"/>
    <mergeCell ref="F16:F17"/>
    <mergeCell ref="F18:F21"/>
    <mergeCell ref="G16:G17"/>
    <mergeCell ref="G18:G21"/>
    <mergeCell ref="A2:C5"/>
    <mergeCell ref="D2:I5"/>
    <mergeCell ref="A7:H8"/>
    <mergeCell ref="H16:I17"/>
    <mergeCell ref="H18:I21"/>
    <mergeCell ref="D42:H44"/>
    <mergeCell ref="B43:C44"/>
    <mergeCell ref="B45:D47"/>
  </mergeCells>
  <pageMargins left="0.751388888888889" right="0.751388888888889" top="1" bottom="1" header="0.5" footer="0.5"/>
  <pageSetup paperSize="9" scale="7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46A-9 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21634</dc:creator>
  <cp:lastModifiedBy>半个拍子</cp:lastModifiedBy>
  <dcterms:created xsi:type="dcterms:W3CDTF">2026-10-14T13:31:33Z</dcterms:created>
  <dcterms:modified xsi:type="dcterms:W3CDTF">2026-10-14T13:31:58Z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2F718C0DF4CE414B8CD4A5E80EFF6BCB_11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1</vt:i4>
  </property>
</Properties>
</file>